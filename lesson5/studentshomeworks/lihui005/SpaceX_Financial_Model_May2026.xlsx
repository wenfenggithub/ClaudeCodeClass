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分业务财务" sheetId="2" state="visible" r:id="rId2"/>
    <sheet xmlns:r="http://schemas.openxmlformats.org/officeDocument/2006/relationships" name="星链用户与ARPU" sheetId="3" state="visible" r:id="rId3"/>
    <sheet xmlns:r="http://schemas.openxmlformats.org/officeDocument/2006/relationships" name="发射频次与成本" sheetId="4" state="visible" r:id="rId4"/>
    <sheet xmlns:r="http://schemas.openxmlformats.org/officeDocument/2006/relationships" name="竞争对比" sheetId="5" state="visible" r:id="rId5"/>
    <sheet xmlns:r="http://schemas.openxmlformats.org/officeDocument/2006/relationships" name="政府合同储备" sheetId="6" state="visible" r:id="rId6"/>
    <sheet xmlns:r="http://schemas.openxmlformats.org/officeDocument/2006/relationships" name="估值情景" sheetId="7" state="visible" r:id="rId7"/>
    <sheet xmlns:r="http://schemas.openxmlformats.org/officeDocument/2006/relationships" name="IPO详情" sheetId="8" state="visible" r:id="rId8"/>
    <sheet xmlns:r="http://schemas.openxmlformats.org/officeDocument/2006/relationships" name="TAM市场" sheetId="9" state="visible" r:id="rId9"/>
    <sheet xmlns:r="http://schemas.openxmlformats.org/officeDocument/2006/relationships" name="数据校验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"/>
    <numFmt numFmtId="166" formatCode="0.0&quot;x&quot;"/>
  </numFmts>
  <fonts count="12">
    <font>
      <name val="Calibri"/>
      <family val="2"/>
      <color theme="1"/>
      <sz val="11"/>
      <scheme val="minor"/>
    </font>
    <font>
      <name val="Calibri"/>
      <b val="1"/>
      <color rgb="000B1D3A"/>
      <sz val="14"/>
    </font>
    <font>
      <name val="Calibri"/>
      <color rgb="007F8C9B"/>
      <sz val="9"/>
    </font>
    <font>
      <name val="Calibri"/>
      <b val="1"/>
      <color rgb="001A1A1A"/>
      <sz val="11"/>
    </font>
    <font>
      <name val="Calibri"/>
      <color rgb="001A1A1A"/>
      <sz val="11"/>
    </font>
    <font>
      <name val="Calibri"/>
      <color rgb="000066CC"/>
      <sz val="11"/>
    </font>
    <font>
      <name val="Calibri"/>
      <color rgb="00000000"/>
      <sz val="11"/>
    </font>
    <font>
      <name val="Calibri"/>
      <color rgb="00228B22"/>
      <sz val="11"/>
    </font>
    <font>
      <name val="Calibri"/>
      <b val="1"/>
      <color rgb="00FFFFFF"/>
      <sz val="11"/>
    </font>
    <font>
      <name val="Calibri"/>
      <b val="1"/>
      <color rgb="00008CFF"/>
      <sz val="10"/>
    </font>
    <font>
      <name val="Calibri"/>
      <b val="1"/>
      <color rgb="00008CFF"/>
      <sz val="11"/>
    </font>
    <font>
      <name val="Calibri"/>
      <b val="1"/>
      <color rgb="00E83E3E"/>
      <sz val="11"/>
    </font>
  </fonts>
  <fills count="6">
    <fill>
      <patternFill/>
    </fill>
    <fill>
      <patternFill patternType="gray125"/>
    </fill>
    <fill>
      <patternFill patternType="solid">
        <fgColor rgb="00F0F3F7"/>
        <bgColor rgb="00F0F3F7"/>
      </patternFill>
    </fill>
    <fill>
      <patternFill patternType="solid">
        <fgColor rgb="000B1D3A"/>
        <bgColor rgb="000B1D3A"/>
      </patternFill>
    </fill>
    <fill>
      <patternFill patternType="solid">
        <fgColor rgb="00E8ECF1"/>
        <bgColor rgb="00E8ECF1"/>
      </patternFill>
    </fill>
    <fill>
      <patternFill patternType="solid">
        <fgColor rgb="00EBF5FB"/>
        <bgColor rgb="00EBF5FB"/>
      </patternFill>
    </fill>
  </fills>
  <borders count="3">
    <border>
      <left/>
      <right/>
      <top/>
      <bottom/>
      <diagonal/>
    </border>
    <border>
      <bottom style="medium">
        <color rgb="000B1D3A"/>
      </bottom>
    </border>
    <border>
      <bottom style="thin">
        <color rgb="00D5D8DC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3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165" fontId="4" fillId="0" borderId="2" applyAlignment="1" pivotButton="0" quotePrefix="0" xfId="0">
      <alignment horizontal="center" vertical="center" wrapText="1"/>
    </xf>
    <xf numFmtId="164" fontId="6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left" vertical="center" wrapText="1"/>
    </xf>
    <xf numFmtId="165" fontId="4" fillId="2" borderId="2" applyAlignment="1" pivotButton="0" quotePrefix="0" xfId="0">
      <alignment horizontal="center" vertical="center" wrapText="1"/>
    </xf>
    <xf numFmtId="164" fontId="6" fillId="2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left" vertical="center" wrapText="1"/>
    </xf>
    <xf numFmtId="165" fontId="3" fillId="4" borderId="2" applyAlignment="1" pivotButton="0" quotePrefix="0" xfId="0">
      <alignment horizontal="center" vertical="center" wrapText="1"/>
    </xf>
    <xf numFmtId="164" fontId="6" fillId="4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9" fontId="6" fillId="0" borderId="2" applyAlignment="1" pivotButton="0" quotePrefix="0" xfId="0">
      <alignment horizontal="center" vertical="center" wrapText="1"/>
    </xf>
    <xf numFmtId="164" fontId="6" fillId="0" borderId="0" pivotButton="0" quotePrefix="0" xfId="0"/>
    <xf numFmtId="0" fontId="4" fillId="5" borderId="2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left" vertical="center" wrapText="1"/>
    </xf>
    <xf numFmtId="9" fontId="4" fillId="0" borderId="2" applyAlignment="1" pivotButton="0" quotePrefix="0" xfId="0">
      <alignment horizontal="center" vertical="center" wrapText="1"/>
    </xf>
    <xf numFmtId="3" fontId="4" fillId="0" borderId="2" applyAlignment="1" pivotButton="0" quotePrefix="0" xfId="0">
      <alignment horizontal="center" vertical="center" wrapText="1"/>
    </xf>
    <xf numFmtId="2" fontId="4" fillId="0" borderId="2" applyAlignment="1" pivotButton="0" quotePrefix="0" xfId="0">
      <alignment horizontal="center" vertical="center" wrapText="1"/>
    </xf>
    <xf numFmtId="166" fontId="6" fillId="0" borderId="2" applyAlignment="1" pivotButton="0" quotePrefix="0" xfId="0">
      <alignment horizontal="center" vertical="center" wrapText="1"/>
    </xf>
    <xf numFmtId="9" fontId="4" fillId="2" borderId="2" applyAlignment="1" pivotButton="0" quotePrefix="0" xfId="0">
      <alignment horizontal="center" vertical="center" wrapText="1"/>
    </xf>
    <xf numFmtId="3" fontId="4" fillId="2" borderId="2" applyAlignment="1" pivotButton="0" quotePrefix="0" xfId="0">
      <alignment horizontal="center" vertical="center" wrapText="1"/>
    </xf>
    <xf numFmtId="2" fontId="4" fillId="2" borderId="2" applyAlignment="1" pivotButton="0" quotePrefix="0" xfId="0">
      <alignment horizontal="center" vertical="center" wrapText="1"/>
    </xf>
    <xf numFmtId="166" fontId="6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left" vertical="center" wrapText="1"/>
    </xf>
    <xf numFmtId="2" fontId="6" fillId="0" borderId="0" pivotButton="0" quotePrefix="0" xfId="0"/>
    <xf numFmtId="9" fontId="0" fillId="0" borderId="0" pivotButton="0" quotePrefix="0" xfId="0"/>
    <xf numFmtId="3" fontId="6" fillId="0" borderId="2" applyAlignment="1" pivotButton="0" quotePrefix="0" xfId="0">
      <alignment horizontal="center" vertical="center" wrapText="1"/>
    </xf>
    <xf numFmtId="3" fontId="6" fillId="2" borderId="2" applyAlignment="1" pivotButton="0" quotePrefix="0" xfId="0">
      <alignment horizontal="center" vertical="center" wrapText="1"/>
    </xf>
    <xf numFmtId="0" fontId="6" fillId="4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星链用户数增长（百万）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'星链用户与ARPU'!B4</f>
            </strRef>
          </tx>
          <spPr>
            <a:solidFill xmlns:a="http://schemas.openxmlformats.org/drawingml/2006/main">
              <a:srgbClr val="008CFF"/>
            </a:solidFill>
            <a:ln xmlns:a="http://schemas.openxmlformats.org/drawingml/2006/main">
              <a:prstDash val="solid"/>
            </a:ln>
          </spPr>
          <cat>
            <numRef>
              <f>'星链用户与ARPU'!$B$4:$E$4</f>
            </numRef>
          </cat>
          <val>
            <numRef>
              <f>'星链用户与ARPU'!$B$5</f>
            </numRef>
          </val>
        </ser>
        <ser>
          <idx val="1"/>
          <order val="1"/>
          <tx>
            <strRef>
              <f>'星链用户与ARPU'!C4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'星链用户与ARPU'!$B$4:$E$4</f>
            </numRef>
          </cat>
          <val>
            <numRef>
              <f>'星链用户与ARPU'!$C$5</f>
            </numRef>
          </val>
        </ser>
        <ser>
          <idx val="2"/>
          <order val="2"/>
          <tx>
            <strRef>
              <f>'星链用户与ARPU'!D4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'星链用户与ARPU'!$B$4:$E$4</f>
            </numRef>
          </cat>
          <val>
            <numRef>
              <f>'星链用户与ARPU'!$D$5</f>
            </numRef>
          </val>
        </ser>
        <ser>
          <idx val="3"/>
          <order val="3"/>
          <tx>
            <strRef>
              <f>'星链用户与ARPU'!E4</f>
            </strRef>
          </tx>
          <spPr>
            <a:ln xmlns:a="http://schemas.openxmlformats.org/drawingml/2006/main">
              <a:prstDash val="solid"/>
            </a:ln>
          </spPr>
          <cat>
            <numRef>
              <f>'星链用户与ARPU'!$B$4:$E$4</f>
            </numRef>
          </cat>
          <val>
            <numRef>
              <f>'星链用户与ARPU'!$E$5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用户数（百万）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月均ARPU趋势（美元）</a:t>
            </a:r>
          </a:p>
        </rich>
      </tx>
    </title>
    <plotArea>
      <lineChart>
        <grouping val="standard"/>
        <ser>
          <idx val="0"/>
          <order val="0"/>
          <tx>
            <strRef>
              <f>'星链用户与ARPU'!B10</f>
            </strRef>
          </tx>
          <spPr>
            <a:ln xmlns:a="http://schemas.openxmlformats.org/drawingml/2006/main">
              <a:solidFill>
                <a:srgbClr val="FF6B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'星链用户与ARPU'!$B$4:$E$4</f>
            </numRef>
          </cat>
          <val>
            <numRef>
              <f>'星链用户与ARPU'!$C$10:$B$10</f>
            </numRef>
          </val>
        </ser>
        <ser>
          <idx val="1"/>
          <order val="1"/>
          <tx>
            <strRef>
              <f>'星链用户与ARPU'!C10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'星链用户与ARPU'!$B$4:$E$4</f>
            </numRef>
          </cat>
          <val>
            <numRef>
              <f>'星链用户与ARPU'!$D$10:$C$10</f>
            </numRef>
          </val>
        </ser>
        <ser>
          <idx val="2"/>
          <order val="2"/>
          <tx>
            <strRef>
              <f>'星链用户与ARPU'!D10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'星链用户与ARPU'!$B$4:$E$4</f>
            </numRef>
          </cat>
          <val>
            <numRef>
              <f>'星链用户与ARPU'!$E$10:$D$10</f>
            </numRef>
          </val>
        </ser>
        <ser>
          <idx val="3"/>
          <order val="3"/>
          <tx>
            <strRef>
              <f>'星链用户与ARPU'!E10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'星链用户与ARPU'!$B$4:$E$4</f>
            </numRef>
          </cat>
          <val>
            <numRef>
              <f>'星链用户与ARPU'!$F$10:$E$10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美元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发射成本下降曲线（$/kg 至 LEO）</a:t>
            </a:r>
          </a:p>
        </rich>
      </tx>
    </title>
    <plotArea>
      <lineChart>
        <grouping val="standard"/>
        <ser>
          <idx val="0"/>
          <order val="0"/>
          <tx>
            <strRef>
              <f>'发射频次与成本'!D4</f>
            </strRef>
          </tx>
          <spPr>
            <a:ln xmlns:a="http://schemas.openxmlformats.org/drawingml/2006/main">
              <a:solidFill>
                <a:srgbClr val="008CF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'发射频次与成本'!$A$5:$A$10</f>
            </numRef>
          </cat>
          <val>
            <numRef>
              <f>'发射频次与成本'!$D$5:$D$10</f>
            </numRef>
          </val>
        </ser>
        <ser>
          <idx val="1"/>
          <order val="1"/>
          <tx>
            <strRef>
              <f>'发射频次与成本'!E4</f>
            </strRef>
          </tx>
          <spPr>
            <a:ln xmlns:a="http://schemas.openxmlformats.org/drawingml/2006/main">
              <a:solidFill>
                <a:srgbClr val="FF6B35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'发射频次与成本'!$A$5:$A$10</f>
            </numRef>
          </cat>
          <val>
            <numRef>
              <f>'发射频次与成本'!$E$5:$E$10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$/kg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2028E 估值情景范围（万亿美元）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'估值情景'!E4</f>
            </strRef>
          </tx>
          <spPr>
            <a:solidFill xmlns:a="http://schemas.openxmlformats.org/drawingml/2006/main">
              <a:srgbClr val="0B1D3A"/>
            </a:solidFill>
            <a:ln xmlns:a="http://schemas.openxmlformats.org/drawingml/2006/main">
              <a:prstDash val="solid"/>
            </a:ln>
          </spPr>
          <cat>
            <numRef>
              <f>'估值情景'!$A$5:$A$9</f>
            </numRef>
          </cat>
          <val>
            <numRef>
              <f>'估值情景'!$E$5:$E$9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万亿美元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13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27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14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17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tabColor rgb="00008CFF"/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SpaceX 财务分析模型 — 2026年5月</t>
        </is>
      </c>
    </row>
    <row r="2">
      <c r="A2" s="2" t="inlineStr">
        <is>
          <t>数据来源：SpaceX S-1 IPO招股书（2026年5月）、公司财报、行业报告</t>
        </is>
      </c>
    </row>
    <row r="3"/>
    <row r="4">
      <c r="A4" s="1" t="inlineStr">
        <is>
          <t>工作表目录</t>
        </is>
      </c>
    </row>
    <row r="5">
      <c r="A5" s="3" t="inlineStr">
        <is>
          <t>概览</t>
        </is>
      </c>
      <c r="B5" s="4" t="inlineStr">
        <is>
          <t>本页 — 模型导航与说明</t>
        </is>
      </c>
    </row>
    <row r="6">
      <c r="A6" s="5" t="inlineStr">
        <is>
          <t>分业务财务</t>
        </is>
      </c>
      <c r="B6" s="4" t="inlineStr">
        <is>
          <t>SpaceX三大业务板块（星链/发射/xAI）收入与利润</t>
        </is>
      </c>
    </row>
    <row r="7">
      <c r="A7" s="3" t="inlineStr">
        <is>
          <t>星链用户与ARPU</t>
        </is>
      </c>
      <c r="B7" s="4" t="inlineStr">
        <is>
          <t>星链用户增长、营收、EBITDA及ARPU趋势（2023-2026E）</t>
        </is>
      </c>
    </row>
    <row r="8">
      <c r="A8" s="5" t="inlineStr">
        <is>
          <t>发射频次与成本</t>
        </is>
      </c>
      <c r="B8" s="4" t="inlineStr">
        <is>
          <t>猎鹰系列发射频次、回收记录、成本下降曲线</t>
        </is>
      </c>
    </row>
    <row r="9">
      <c r="A9" s="3" t="inlineStr">
        <is>
          <t>竞争对比</t>
        </is>
      </c>
      <c r="B9" s="4" t="inlineStr">
        <is>
          <t>SpaceX vs 蓝色起源 vs 火箭实验室 vs ULA vs 波音</t>
        </is>
      </c>
    </row>
    <row r="10">
      <c r="A10" s="5" t="inlineStr">
        <is>
          <t>政府合同储备</t>
        </is>
      </c>
      <c r="B10" s="4" t="inlineStr">
        <is>
          <t>NSSL、NASA、SDA、商业发射合同对比</t>
        </is>
      </c>
    </row>
    <row r="11">
      <c r="A11" s="3" t="inlineStr">
        <is>
          <t>估值情景</t>
        </is>
      </c>
      <c r="B11" s="4" t="inlineStr">
        <is>
          <t>牛市/基础/熊市/Damodaran DCF 估值情景</t>
        </is>
      </c>
    </row>
    <row r="12">
      <c r="A12" s="5" t="inlineStr">
        <is>
          <t>IPO详情</t>
        </is>
      </c>
      <c r="B12" s="4" t="inlineStr">
        <is>
          <t>IPO关键参数、估值背景、募集资金用途</t>
        </is>
      </c>
    </row>
    <row r="13">
      <c r="A13" s="3" t="inlineStr">
        <is>
          <t>TAM市场</t>
        </is>
      </c>
      <c r="B13" s="4" t="inlineStr">
        <is>
          <t>可寻址市场总量：发射/宽带/国防/轨道AI</t>
        </is>
      </c>
    </row>
    <row r="14">
      <c r="A14" s="5" t="inlineStr">
        <is>
          <t>数据校验</t>
        </is>
      </c>
      <c r="B14" s="4" t="inlineStr">
        <is>
          <t>跨表数据一致性校验</t>
        </is>
      </c>
    </row>
    <row r="15"/>
    <row r="16"/>
    <row r="17">
      <c r="A17" s="1" t="inlineStr">
        <is>
          <t>配色约定</t>
        </is>
      </c>
    </row>
    <row r="18">
      <c r="A18" s="6" t="inlineStr">
        <is>
          <t>蓝色字体</t>
        </is>
      </c>
      <c r="B18" s="4">
        <f> 手动输入的硬编码数据</f>
        <v/>
      </c>
    </row>
    <row r="19">
      <c r="A19" s="7" t="inlineStr">
        <is>
          <t>黑色字体</t>
        </is>
      </c>
      <c r="B19" s="4">
        <f> 公式计算</f>
        <v/>
      </c>
    </row>
    <row r="20">
      <c r="A20" s="8" t="inlineStr">
        <is>
          <t>绿色字体</t>
        </is>
      </c>
      <c r="B20" s="4">
        <f> 跨表链接</f>
        <v/>
      </c>
    </row>
  </sheetData>
  <mergeCells count="2">
    <mergeCell ref="A17:C17"/>
    <mergeCell ref="A1:F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0B1D3A"/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21.2" customWidth="1" min="5" max="5"/>
    <col width="17.6" customWidth="1" min="6" max="6"/>
    <col width="18.8" customWidth="1" min="7" max="7"/>
  </cols>
  <sheetData>
    <row r="1">
      <c r="A1" s="1" t="inlineStr">
        <is>
          <t>SpaceX 分业务财务数据（FY2024–FY2025）</t>
        </is>
      </c>
    </row>
    <row r="2">
      <c r="A2" s="2" t="inlineStr">
        <is>
          <t>单位：亿美元（除特别标注）。FY2024为近似值（公司当时为私有）。xAI于2026年2月并入SpaceX。</t>
        </is>
      </c>
    </row>
    <row r="3"/>
    <row r="4">
      <c r="A4" s="9" t="inlineStr">
        <is>
          <t>业务板块</t>
        </is>
      </c>
      <c r="B4" s="9" t="inlineStr">
        <is>
          <t>FY2024营收</t>
        </is>
      </c>
      <c r="C4" s="9" t="inlineStr">
        <is>
          <t>FY2025营收</t>
        </is>
      </c>
      <c r="D4" s="9" t="inlineStr">
        <is>
          <t>同比增速</t>
        </is>
      </c>
      <c r="E4" s="9" t="inlineStr">
        <is>
          <t>运营利润/(亏损) FY2025</t>
        </is>
      </c>
      <c r="F4" s="9" t="inlineStr">
        <is>
          <t>EBITDA FY2025</t>
        </is>
      </c>
      <c r="G4" s="9" t="inlineStr">
        <is>
          <t>EBITDA利润率 / 备注</t>
        </is>
      </c>
    </row>
    <row r="5">
      <c r="A5" s="10" t="inlineStr">
        <is>
          <t>星链（连接业务）</t>
        </is>
      </c>
      <c r="B5" s="11" t="n">
        <v>76</v>
      </c>
      <c r="C5" s="11" t="n">
        <v>113.9</v>
      </c>
      <c r="D5" s="12">
        <f>(C5-B5)/B5</f>
        <v/>
      </c>
      <c r="E5" s="11" t="n">
        <v>44.2</v>
      </c>
      <c r="F5" s="11" t="n">
        <v>71.7</v>
      </c>
      <c r="G5" s="13" t="inlineStr">
        <is>
          <t>63%</t>
        </is>
      </c>
    </row>
    <row r="6">
      <c r="A6" s="14" t="inlineStr">
        <is>
          <t>发射服务</t>
        </is>
      </c>
      <c r="B6" s="15" t="n">
        <v>38</v>
      </c>
      <c r="C6" s="15" t="n">
        <v>40.9</v>
      </c>
      <c r="D6" s="16">
        <f>(C6-B6)/B6</f>
        <v/>
      </c>
      <c r="E6" s="15" t="n">
        <v>-6.6</v>
      </c>
      <c r="F6" s="15" t="inlineStr">
        <is>
          <t>-</t>
        </is>
      </c>
      <c r="G6" s="17" t="inlineStr">
        <is>
          <t>含星舰R&amp;D $30亿/年</t>
        </is>
      </c>
    </row>
    <row r="7">
      <c r="A7" s="10" t="inlineStr">
        <is>
          <t>xAI（人工智能）</t>
        </is>
      </c>
      <c r="B7" s="11" t="inlineStr">
        <is>
          <t>-</t>
        </is>
      </c>
      <c r="C7" s="11" t="n">
        <v>32</v>
      </c>
      <c r="D7" s="13" t="inlineStr">
        <is>
          <t>不可比</t>
        </is>
      </c>
      <c r="E7" s="11" t="n">
        <v>-63.6</v>
      </c>
      <c r="F7" s="11" t="inlineStr">
        <is>
          <t>-</t>
        </is>
      </c>
      <c r="G7" s="13" t="inlineStr">
        <is>
          <t>资本支出$127亿</t>
        </is>
      </c>
    </row>
    <row r="8">
      <c r="A8" s="18" t="inlineStr">
        <is>
          <t>合并总计</t>
        </is>
      </c>
      <c r="B8" s="19" t="n">
        <v>114</v>
      </c>
      <c r="C8" s="19" t="n">
        <v>186.7</v>
      </c>
      <c r="D8" s="20">
        <f>(C8-B8)/B8</f>
        <v/>
      </c>
      <c r="E8" s="19" t="n">
        <v>-25.9</v>
      </c>
      <c r="F8" s="19" t="n">
        <v>15</v>
      </c>
      <c r="G8" s="21" t="inlineStr">
        <is>
          <t>净亏损($49.4亿)</t>
        </is>
      </c>
    </row>
    <row r="9"/>
    <row r="10">
      <c r="A10" s="2" t="inlineStr">
        <is>
          <t>注：星链EBITDA利润率63%为2025全年数据。合并调整后EBITDA约$15亿为近似值。</t>
        </is>
      </c>
    </row>
  </sheetData>
  <mergeCells count="1">
    <mergeCell ref="A1:G1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0B1D3A"/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  <col width="16" customWidth="1" min="4" max="4"/>
    <col width="16" customWidth="1" min="5" max="5"/>
    <col width="16.4" customWidth="1" min="6" max="6"/>
  </cols>
  <sheetData>
    <row r="1">
      <c r="A1" s="1" t="inlineStr">
        <is>
          <t>星链 — 用户增长与单位经济（2023–2026E）</t>
        </is>
      </c>
    </row>
    <row r="2">
      <c r="A2" s="2" t="inlineStr">
        <is>
          <t>数据来源：SpaceX S-1招股书（2026年5月）；Quilty Space星链财务概览2026；Morningstar。</t>
        </is>
      </c>
    </row>
    <row r="3"/>
    <row r="4">
      <c r="A4" s="9" t="inlineStr">
        <is>
          <t>指标</t>
        </is>
      </c>
      <c r="B4" s="9" t="inlineStr">
        <is>
          <t>2023</t>
        </is>
      </c>
      <c r="C4" s="9" t="inlineStr">
        <is>
          <t>2024</t>
        </is>
      </c>
      <c r="D4" s="9" t="inlineStr">
        <is>
          <t>2025</t>
        </is>
      </c>
      <c r="E4" s="9" t="inlineStr">
        <is>
          <t>Q1 2026</t>
        </is>
      </c>
      <c r="F4" s="9" t="inlineStr">
        <is>
          <t>2026E</t>
        </is>
      </c>
    </row>
    <row r="5">
      <c r="A5" s="10" t="inlineStr">
        <is>
          <t>用户数（百万）</t>
        </is>
      </c>
      <c r="B5" s="11" t="n">
        <v>2.3</v>
      </c>
      <c r="C5" s="11" t="n">
        <v>4.4</v>
      </c>
      <c r="D5" s="11" t="n">
        <v>8.9</v>
      </c>
      <c r="E5" s="11" t="n">
        <v>10.3</v>
      </c>
      <c r="F5" s="13" t="inlineStr">
        <is>
          <t>1,680–2,500万</t>
        </is>
      </c>
    </row>
    <row r="6">
      <c r="A6" s="14" t="inlineStr">
        <is>
          <t>营收（亿美元）</t>
        </is>
      </c>
      <c r="B6" s="15" t="n">
        <v>51</v>
      </c>
      <c r="C6" s="15" t="n">
        <v>76</v>
      </c>
      <c r="D6" s="15" t="n">
        <v>113.9</v>
      </c>
      <c r="E6" s="15" t="n">
        <v>32.6</v>
      </c>
      <c r="F6" s="17" t="inlineStr">
        <is>
          <t>187–200亿</t>
        </is>
      </c>
    </row>
    <row r="7">
      <c r="A7" s="10" t="inlineStr">
        <is>
          <t>运营利润（亿美元）</t>
        </is>
      </c>
      <c r="B7" s="11" t="n">
        <v>20</v>
      </c>
      <c r="C7" s="11" t="n">
        <v>20</v>
      </c>
      <c r="D7" s="11" t="n">
        <v>44.2</v>
      </c>
      <c r="E7" s="11" t="n">
        <v>11.9</v>
      </c>
      <c r="F7" s="13" t="inlineStr">
        <is>
          <t>—</t>
        </is>
      </c>
    </row>
    <row r="8">
      <c r="A8" s="14" t="inlineStr">
        <is>
          <t>EBITDA（亿美元）</t>
        </is>
      </c>
      <c r="B8" s="15" t="n">
        <v>25</v>
      </c>
      <c r="C8" s="15" t="n">
        <v>38.6</v>
      </c>
      <c r="D8" s="15" t="n">
        <v>71.7</v>
      </c>
      <c r="E8" s="17" t="inlineStr">
        <is>
          <t>—</t>
        </is>
      </c>
      <c r="F8" s="17" t="inlineStr">
        <is>
          <t>~140亿</t>
        </is>
      </c>
    </row>
    <row r="9">
      <c r="A9" s="10" t="inlineStr">
        <is>
          <t>EBITDA利润率</t>
        </is>
      </c>
      <c r="B9" s="22">
        <f>C8/C6</f>
        <v/>
      </c>
      <c r="C9" s="22">
        <f>D8/D6</f>
        <v/>
      </c>
      <c r="D9" s="22">
        <f>E8/E6</f>
        <v/>
      </c>
      <c r="E9" s="13" t="inlineStr">
        <is>
          <t>—</t>
        </is>
      </c>
      <c r="F9" s="13" t="inlineStr">
        <is>
          <t>~70%</t>
        </is>
      </c>
    </row>
    <row r="10">
      <c r="A10" s="14" t="inlineStr">
        <is>
          <t>月均ARPU（美元）</t>
        </is>
      </c>
      <c r="B10" s="15" t="n">
        <v>99</v>
      </c>
      <c r="C10" s="15" t="n">
        <v>91</v>
      </c>
      <c r="D10" s="15" t="n">
        <v>81</v>
      </c>
      <c r="E10" s="15" t="n">
        <v>66</v>
      </c>
      <c r="F10" s="17" t="inlineStr">
        <is>
          <t>策略性下降</t>
        </is>
      </c>
    </row>
    <row r="11"/>
  </sheetData>
  <mergeCells count="1">
    <mergeCell ref="A1:F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0B1D3A"/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0" customWidth="1" min="1" max="1"/>
    <col width="16.4" customWidth="1" min="2" max="2"/>
    <col width="16" customWidth="1" min="3" max="3"/>
    <col width="20" customWidth="1" min="4" max="4"/>
    <col width="22.4" customWidth="1" min="5" max="5"/>
    <col width="16" customWidth="1" min="6" max="6"/>
    <col width="16" customWidth="1" min="7" max="7"/>
  </cols>
  <sheetData>
    <row r="1">
      <c r="A1" s="1" t="inlineStr">
        <is>
          <t>猎鹰系列 — 发射频次与成本下降曲线（2020–2025）</t>
        </is>
      </c>
    </row>
    <row r="2">
      <c r="A2" s="2" t="inlineStr">
        <is>
          <t>数据来源：SpaceX S-1；NextBigFuture；IndexBox；维基百科。内部成本为估算值。</t>
        </is>
      </c>
    </row>
    <row r="3"/>
    <row r="4">
      <c r="A4" s="9" t="inlineStr">
        <is>
          <t>年份</t>
        </is>
      </c>
      <c r="B4" s="9" t="inlineStr">
        <is>
          <t>Falcon发射次数</t>
        </is>
      </c>
      <c r="C4" s="9" t="inlineStr">
        <is>
          <t>累计着陆次数</t>
        </is>
      </c>
      <c r="D4" s="9" t="inlineStr">
        <is>
          <t>成本/kg至LEO 内部($)</t>
        </is>
      </c>
      <c r="E4" s="9" t="inlineStr">
        <is>
          <t>成本/kg至LEO 客户($)</t>
        </is>
      </c>
      <c r="F4" s="9" t="inlineStr">
        <is>
          <t>复用次数(max)</t>
        </is>
      </c>
      <c r="G4" s="9" t="inlineStr">
        <is>
          <t>发射市场份额</t>
        </is>
      </c>
    </row>
    <row r="5">
      <c r="A5" s="10" t="n">
        <v>2020</v>
      </c>
      <c r="B5" s="13" t="n">
        <v>26</v>
      </c>
      <c r="C5" s="13" t="n">
        <v>70</v>
      </c>
      <c r="D5" s="13" t="n">
        <v>1200</v>
      </c>
      <c r="E5" s="13" t="n">
        <v>4400</v>
      </c>
      <c r="F5" s="13" t="n">
        <v>5</v>
      </c>
      <c r="G5" s="13" t="inlineStr">
        <is>
          <t>~50%</t>
        </is>
      </c>
    </row>
    <row r="6">
      <c r="A6" s="14" t="n">
        <v>2021</v>
      </c>
      <c r="B6" s="17" t="n">
        <v>31</v>
      </c>
      <c r="C6" s="17" t="n">
        <v>100</v>
      </c>
      <c r="D6" s="17" t="n">
        <v>1000</v>
      </c>
      <c r="E6" s="17" t="n">
        <v>3800</v>
      </c>
      <c r="F6" s="17" t="n">
        <v>8</v>
      </c>
      <c r="G6" s="17" t="inlineStr">
        <is>
          <t>~45%</t>
        </is>
      </c>
    </row>
    <row r="7">
      <c r="A7" s="10" t="n">
        <v>2022</v>
      </c>
      <c r="B7" s="13" t="n">
        <v>61</v>
      </c>
      <c r="C7" s="13" t="n">
        <v>150</v>
      </c>
      <c r="D7" s="13" t="n">
        <v>850</v>
      </c>
      <c r="E7" s="13" t="n">
        <v>3200</v>
      </c>
      <c r="F7" s="13" t="n">
        <v>12</v>
      </c>
      <c r="G7" s="13" t="inlineStr">
        <is>
          <t>~55%</t>
        </is>
      </c>
    </row>
    <row r="8">
      <c r="A8" s="14" t="n">
        <v>2023</v>
      </c>
      <c r="B8" s="17" t="n">
        <v>96</v>
      </c>
      <c r="C8" s="17" t="n">
        <v>220</v>
      </c>
      <c r="D8" s="17" t="n">
        <v>750</v>
      </c>
      <c r="E8" s="17" t="n">
        <v>2900</v>
      </c>
      <c r="F8" s="17" t="n">
        <v>17</v>
      </c>
      <c r="G8" s="17" t="inlineStr">
        <is>
          <t>~65%</t>
        </is>
      </c>
    </row>
    <row r="9">
      <c r="A9" s="10" t="n">
        <v>2024</v>
      </c>
      <c r="B9" s="13" t="n">
        <v>134</v>
      </c>
      <c r="C9" s="13" t="n">
        <v>350</v>
      </c>
      <c r="D9" s="13" t="n">
        <v>700</v>
      </c>
      <c r="E9" s="13" t="n">
        <v>2750</v>
      </c>
      <c r="F9" s="13" t="n">
        <v>25</v>
      </c>
      <c r="G9" s="13" t="inlineStr">
        <is>
          <t>~75%</t>
        </is>
      </c>
    </row>
    <row r="10">
      <c r="A10" s="14" t="n">
        <v>2025</v>
      </c>
      <c r="B10" s="17" t="n">
        <v>165</v>
      </c>
      <c r="C10" s="17" t="n">
        <v>571</v>
      </c>
      <c r="D10" s="17" t="n">
        <v>629</v>
      </c>
      <c r="E10" s="17" t="n">
        <v>2720</v>
      </c>
      <c r="F10" s="17" t="n">
        <v>33</v>
      </c>
      <c r="G10" s="17" t="inlineStr">
        <is>
          <t>&gt;80%</t>
        </is>
      </c>
    </row>
    <row r="11">
      <c r="A11" s="18" t="inlineStr">
        <is>
          <t>合计/平均</t>
        </is>
      </c>
      <c r="B11" s="21">
        <f>SUM(B5:B10)</f>
        <v/>
      </c>
      <c r="C11" s="21" t="n"/>
      <c r="D11" s="21" t="n"/>
      <c r="E11" s="21" t="n"/>
      <c r="F11" s="21" t="n"/>
      <c r="G11" s="21" t="n"/>
    </row>
    <row r="12"/>
    <row r="13">
      <c r="A13" s="5" t="inlineStr">
        <is>
          <t>成本下降CAGR (2020-2025)</t>
        </is>
      </c>
      <c r="D13" s="5" t="inlineStr">
        <is>
          <t>内部成本CAGR:</t>
        </is>
      </c>
      <c r="E13" s="23">
        <f>(D10/D5)^(1/5)-1</f>
        <v/>
      </c>
    </row>
  </sheetData>
  <mergeCells count="1">
    <mergeCell ref="A1:F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0B1D3A"/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航天发射领域竞争对比（2025年数据）</t>
        </is>
      </c>
    </row>
    <row r="2">
      <c r="A2" s="2" t="inlineStr">
        <is>
          <t>数据来源：公司财报；SEC EDGAR；SpaceX S-1；火箭实验室Q1 2026财报；行业估算。波音航天为BDS中估算占比&lt;15%。</t>
        </is>
      </c>
    </row>
    <row r="3"/>
    <row r="4">
      <c r="A4" s="9" t="inlineStr">
        <is>
          <t>指标</t>
        </is>
      </c>
      <c r="B4" s="9" t="inlineStr">
        <is>
          <t>SpaceX</t>
        </is>
      </c>
      <c r="C4" s="9" t="inlineStr">
        <is>
          <t>蓝色起源</t>
        </is>
      </c>
      <c r="D4" s="9" t="inlineStr">
        <is>
          <t>火箭实验室(RKLB)</t>
        </is>
      </c>
      <c r="E4" s="9" t="inlineStr">
        <is>
          <t>ULA</t>
        </is>
      </c>
      <c r="F4" s="9" t="inlineStr">
        <is>
          <t>波音(航天)</t>
        </is>
      </c>
    </row>
    <row r="5">
      <c r="A5" s="10" t="inlineStr">
        <is>
          <t>营收（航天,亿美元）</t>
        </is>
      </c>
      <c r="B5" s="24" t="inlineStr">
        <is>
          <t>$186.7亿</t>
        </is>
      </c>
      <c r="C5" s="13" t="inlineStr">
        <is>
          <t>&lt;$5亿（估）</t>
        </is>
      </c>
      <c r="D5" s="13" t="inlineStr">
        <is>
          <t>$6.018亿</t>
        </is>
      </c>
      <c r="E5" s="13" t="inlineStr">
        <is>
          <t>$10–20亿（估）</t>
        </is>
      </c>
      <c r="F5" s="13" t="inlineStr">
        <is>
          <t>~$40亿（估）</t>
        </is>
      </c>
    </row>
    <row r="6">
      <c r="A6" s="14" t="inlineStr">
        <is>
          <t>2025发射次数</t>
        </is>
      </c>
      <c r="B6" s="24" t="n">
        <v>165</v>
      </c>
      <c r="C6" s="17" t="n">
        <v>2</v>
      </c>
      <c r="D6" s="17" t="n">
        <v>21</v>
      </c>
      <c r="E6" s="17" t="n">
        <v>5</v>
      </c>
      <c r="F6" s="17" t="inlineStr">
        <is>
          <t>—</t>
        </is>
      </c>
    </row>
    <row r="7">
      <c r="A7" s="10" t="inlineStr">
        <is>
          <t>助推器最大复用次数</t>
        </is>
      </c>
      <c r="B7" s="24" t="n">
        <v>33</v>
      </c>
      <c r="C7" s="13" t="inlineStr">
        <is>
          <t>1（2025.11）</t>
        </is>
      </c>
      <c r="D7" s="13" t="inlineStr">
        <is>
          <t>0（部分回收）</t>
        </is>
      </c>
      <c r="E7" s="13" t="inlineStr">
        <is>
          <t>0（一次性）</t>
        </is>
      </c>
      <c r="F7" s="13" t="inlineStr">
        <is>
          <t>0</t>
        </is>
      </c>
    </row>
    <row r="8">
      <c r="A8" s="14" t="inlineStr">
        <is>
          <t>单次发射价格（$百万）</t>
        </is>
      </c>
      <c r="B8" s="24" t="inlineStr">
        <is>
          <t>$70</t>
        </is>
      </c>
      <c r="C8" s="17" t="inlineStr">
        <is>
          <t>$60–70</t>
        </is>
      </c>
      <c r="D8" s="17" t="inlineStr">
        <is>
          <t>$8.5（电子号）</t>
        </is>
      </c>
      <c r="E8" s="17" t="inlineStr">
        <is>
          <t>$100–200</t>
        </is>
      </c>
      <c r="F8" s="17" t="inlineStr">
        <is>
          <t>—</t>
        </is>
      </c>
    </row>
    <row r="9">
      <c r="A9" s="10" t="inlineStr">
        <is>
          <t>垂直整合度</t>
        </is>
      </c>
      <c r="B9" s="24" t="inlineStr">
        <is>
          <t>85–90%</t>
        </is>
      </c>
      <c r="C9" s="13" t="inlineStr">
        <is>
          <t>中等</t>
        </is>
      </c>
      <c r="D9" s="13" t="inlineStr">
        <is>
          <t>中等（并购扩张）</t>
        </is>
      </c>
      <c r="E9" s="13" t="inlineStr">
        <is>
          <t>低（仅组装）</t>
        </is>
      </c>
      <c r="F9" s="13" t="inlineStr">
        <is>
          <t>中等</t>
        </is>
      </c>
    </row>
    <row r="10">
      <c r="A10" s="14" t="inlineStr">
        <is>
          <t>消费宽带</t>
        </is>
      </c>
      <c r="B10" s="24" t="inlineStr">
        <is>
          <t>星链1,030万用户</t>
        </is>
      </c>
      <c r="C10" s="17" t="inlineStr">
        <is>
          <t>无</t>
        </is>
      </c>
      <c r="D10" s="17" t="inlineStr">
        <is>
          <t>无</t>
        </is>
      </c>
      <c r="E10" s="17" t="inlineStr">
        <is>
          <t>无</t>
        </is>
      </c>
      <c r="F10" s="17" t="inlineStr">
        <is>
          <t>无</t>
        </is>
      </c>
    </row>
    <row r="11">
      <c r="A11" s="10" t="inlineStr">
        <is>
          <t>累计着陆次数</t>
        </is>
      </c>
      <c r="B11" s="24" t="n">
        <v>571</v>
      </c>
      <c r="C11" s="13" t="n">
        <v>1</v>
      </c>
      <c r="D11" s="13" t="inlineStr">
        <is>
          <t>部分溅落回收</t>
        </is>
      </c>
      <c r="E11" s="13" t="n">
        <v>0</v>
      </c>
      <c r="F11" s="13" t="n">
        <v>0</v>
      </c>
    </row>
    <row r="12">
      <c r="A12" s="14" t="inlineStr">
        <is>
          <t>下一代火箭</t>
        </is>
      </c>
      <c r="B12" s="24" t="inlineStr">
        <is>
          <t>星舰（试飞中）</t>
        </is>
      </c>
      <c r="C12" s="17" t="inlineStr">
        <is>
          <t>新格伦（运营）</t>
        </is>
      </c>
      <c r="D12" s="17" t="inlineStr">
        <is>
          <t>中子（2026Q4）</t>
        </is>
      </c>
      <c r="E12" s="17" t="inlineStr">
        <is>
          <t>无计划</t>
        </is>
      </c>
      <c r="F12" s="17" t="inlineStr">
        <is>
          <t>SLS（成本加成）</t>
        </is>
      </c>
    </row>
  </sheetData>
  <mergeCells count="1">
    <mergeCell ref="A1:F1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0B1D3A"/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5" customWidth="1" min="1" max="1"/>
    <col width="21.2" customWidth="1" min="2" max="2"/>
    <col width="18" customWidth="1" min="3" max="3"/>
    <col width="24.8" customWidth="1" min="4" max="4"/>
    <col width="18" customWidth="1" min="5" max="5"/>
  </cols>
  <sheetData>
    <row r="1">
      <c r="A1" s="1" t="inlineStr">
        <is>
          <t>政府及商业发射合同储备对比</t>
        </is>
      </c>
    </row>
    <row r="2">
      <c r="A2" s="2" t="inlineStr">
        <is>
          <t>数据来源：美国太空军NSSL Phase 3合同（2025年4月/9月）；NASA HLS；SDA；ULA/蓝色起源新闻稿。</t>
        </is>
      </c>
    </row>
    <row r="3"/>
    <row r="4">
      <c r="A4" s="9" t="inlineStr">
        <is>
          <t>合同项目</t>
        </is>
      </c>
      <c r="B4" s="9" t="inlineStr">
        <is>
          <t>SpaceX</t>
        </is>
      </c>
      <c r="C4" s="9" t="inlineStr">
        <is>
          <t>蓝色起源</t>
        </is>
      </c>
      <c r="D4" s="9" t="inlineStr">
        <is>
          <t>火箭实验室</t>
        </is>
      </c>
      <c r="E4" s="9" t="inlineStr">
        <is>
          <t>ULA</t>
        </is>
      </c>
    </row>
    <row r="5">
      <c r="A5" s="10" t="inlineStr">
        <is>
          <t>NSSL Phase 3（太空军）</t>
        </is>
      </c>
      <c r="B5" s="24" t="inlineStr">
        <is>
          <t>28次任务 / $59亿</t>
        </is>
      </c>
      <c r="C5" s="13" t="inlineStr">
        <is>
          <t>7次任务 / $23亿</t>
        </is>
      </c>
      <c r="D5" s="13" t="inlineStr">
        <is>
          <t>—</t>
        </is>
      </c>
      <c r="E5" s="13" t="inlineStr">
        <is>
          <t>19次任务 / $53亿</t>
        </is>
      </c>
    </row>
    <row r="6">
      <c r="A6" s="14" t="inlineStr">
        <is>
          <t>NASA（阿尔忒弥斯/HLS等）</t>
        </is>
      </c>
      <c r="B6" s="24" t="inlineStr">
        <is>
          <t>$30亿+（HLS月球着陆器）</t>
        </is>
      </c>
      <c r="C6" s="17" t="inlineStr">
        <is>
          <t>$34亿（蓝月着陆器）</t>
        </is>
      </c>
      <c r="D6" s="17" t="inlineStr">
        <is>
          <t>—</t>
        </is>
      </c>
      <c r="E6" s="17" t="inlineStr">
        <is>
          <t>—</t>
        </is>
      </c>
    </row>
    <row r="7">
      <c r="A7" s="10" t="inlineStr">
        <is>
          <t>SDA（太空发展局）</t>
        </is>
      </c>
      <c r="B7" s="24" t="inlineStr">
        <is>
          <t>多个合同（卫星平台）</t>
        </is>
      </c>
      <c r="C7" s="13" t="inlineStr">
        <is>
          <t>—</t>
        </is>
      </c>
      <c r="D7" s="13" t="inlineStr">
        <is>
          <t>$8.16亿（Tranche III）</t>
        </is>
      </c>
      <c r="E7" s="13" t="inlineStr">
        <is>
          <t>—</t>
        </is>
      </c>
    </row>
    <row r="8">
      <c r="A8" s="14" t="inlineStr">
        <is>
          <t>商业发射（Kuiper等）</t>
        </is>
      </c>
      <c r="B8" s="24" t="inlineStr">
        <is>
          <t>—（星链自用165次）</t>
        </is>
      </c>
      <c r="C8" s="17" t="inlineStr">
        <is>
          <t>Kuiper部分发射</t>
        </is>
      </c>
      <c r="D8" s="17" t="inlineStr">
        <is>
          <t>70+次电子号订单</t>
        </is>
      </c>
      <c r="E8" s="17" t="inlineStr">
        <is>
          <t>47次Kuiper发射</t>
        </is>
      </c>
    </row>
    <row r="9">
      <c r="A9" s="10" t="inlineStr">
        <is>
          <t>载人航天</t>
        </is>
      </c>
      <c r="B9" s="24" t="inlineStr">
        <is>
          <t>商业载人（NASA $50亿+）</t>
        </is>
      </c>
      <c r="C9" s="13" t="inlineStr">
        <is>
          <t>—</t>
        </is>
      </c>
      <c r="D9" s="13" t="inlineStr">
        <is>
          <t>—</t>
        </is>
      </c>
      <c r="E9" s="13" t="inlineStr">
        <is>
          <t>—</t>
        </is>
      </c>
    </row>
    <row r="10">
      <c r="A10" s="2" t="inlineStr">
        <is>
          <t>注：合同金额为总合同额，非年化。实际入账按交付进度确认。</t>
        </is>
      </c>
    </row>
  </sheetData>
  <mergeCells count="1">
    <mergeCell ref="A1:E1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0B1D3A"/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24.8" customWidth="1" min="4" max="4"/>
    <col width="30.8" customWidth="1" min="5" max="5"/>
    <col width="18" customWidth="1" min="6" max="6"/>
    <col width="34.4" customWidth="1" min="7" max="7"/>
  </cols>
  <sheetData>
    <row r="1">
      <c r="A1" s="1" t="inlineStr">
        <is>
          <t>SpaceX 估值情景分析（2028E）</t>
        </is>
      </c>
    </row>
    <row r="2">
      <c r="A2" s="2" t="inlineStr">
        <is>
          <t>说明：所有情景均为说明性分析，基于S-1文件及行业研究中公开可获取的信息。</t>
        </is>
      </c>
    </row>
    <row r="3"/>
    <row r="4">
      <c r="A4" s="9" t="inlineStr">
        <is>
          <t>情景</t>
        </is>
      </c>
      <c r="B4" s="9" t="inlineStr">
        <is>
          <t>概率</t>
        </is>
      </c>
      <c r="C4" s="9" t="inlineStr">
        <is>
          <t>星链用户2028E（百万）</t>
        </is>
      </c>
      <c r="D4" s="9" t="inlineStr">
        <is>
          <t>星链EBITDA 2028E（亿美元）</t>
        </is>
      </c>
      <c r="E4" s="9" t="inlineStr">
        <is>
          <t>隐含估值（万亿美元）</t>
        </is>
      </c>
      <c r="F4" s="9" t="inlineStr">
        <is>
          <t>隐含EV/EBITDA</t>
        </is>
      </c>
      <c r="G4" s="9" t="inlineStr">
        <is>
          <t>关键假设</t>
        </is>
      </c>
    </row>
    <row r="5">
      <c r="A5" s="25" t="inlineStr">
        <is>
          <t>▲ 牛市</t>
        </is>
      </c>
      <c r="B5" s="26" t="n">
        <v>0.3</v>
      </c>
      <c r="C5" s="27" t="n">
        <v>40</v>
      </c>
      <c r="D5" s="27" t="n">
        <v>300</v>
      </c>
      <c r="E5" s="28" t="n">
        <v>2.75</v>
      </c>
      <c r="F5" s="29">
        <f>E5/D5*1000</f>
        <v/>
      </c>
      <c r="G5" s="13" t="inlineStr">
        <is>
          <t>星舰完全复用成功；40M+用户；轨道AI变现</t>
        </is>
      </c>
    </row>
    <row r="6">
      <c r="A6" s="14" t="inlineStr">
        <is>
          <t>► 基础</t>
        </is>
      </c>
      <c r="B6" s="30" t="n">
        <v>0.5</v>
      </c>
      <c r="C6" s="31" t="n">
        <v>25</v>
      </c>
      <c r="D6" s="31" t="n">
        <v>180</v>
      </c>
      <c r="E6" s="32" t="n">
        <v>1.75</v>
      </c>
      <c r="F6" s="33">
        <f>E6/D6*1000</f>
        <v/>
      </c>
      <c r="G6" s="17" t="inlineStr">
        <is>
          <t>星舰部分复用；Kuiper入市竞争；xAI亏损收窄</t>
        </is>
      </c>
    </row>
    <row r="7">
      <c r="A7" s="34" t="inlineStr">
        <is>
          <t>▼ 熊市</t>
        </is>
      </c>
      <c r="B7" s="26" t="n">
        <v>0.2</v>
      </c>
      <c r="C7" s="27" t="n">
        <v>15</v>
      </c>
      <c r="D7" s="27" t="n">
        <v>100</v>
      </c>
      <c r="E7" s="28" t="n">
        <v>0.65</v>
      </c>
      <c r="F7" s="29">
        <f>E7/D7*1000</f>
        <v/>
      </c>
      <c r="G7" s="13" t="inlineStr">
        <is>
          <t>星舰推迟；ARPU持续下降；Anthropic取消合同</t>
        </is>
      </c>
    </row>
    <row r="8">
      <c r="A8" s="14" t="inlineStr">
        <is>
          <t>Damodaran DCF</t>
        </is>
      </c>
      <c r="B8" s="17" t="inlineStr">
        <is>
          <t>—</t>
        </is>
      </c>
      <c r="C8" s="17" t="n">
        <v>20</v>
      </c>
      <c r="D8" s="17" t="n">
        <v>150</v>
      </c>
      <c r="E8" s="17" t="n">
        <v>1.22</v>
      </c>
      <c r="F8" s="33">
        <f>E8/D8*1000</f>
        <v/>
      </c>
      <c r="G8" s="17" t="inlineStr">
        <is>
          <t>学术估值基准；较IPO目标低~30%</t>
        </is>
      </c>
    </row>
    <row r="9">
      <c r="A9" s="10" t="inlineStr">
        <is>
          <t>IPO目标（中点）</t>
        </is>
      </c>
      <c r="B9" s="13" t="inlineStr">
        <is>
          <t>—</t>
        </is>
      </c>
      <c r="C9" s="13" t="n">
        <v>25</v>
      </c>
      <c r="D9" s="13" t="n">
        <v>180</v>
      </c>
      <c r="E9" s="13" t="n">
        <v>1.75</v>
      </c>
      <c r="F9" s="29">
        <f>E9/D9*1000</f>
        <v/>
      </c>
      <c r="G9" s="13" t="inlineStr">
        <is>
          <t>S-1披露估值区间中点</t>
        </is>
      </c>
    </row>
    <row r="10"/>
    <row r="11">
      <c r="A11" s="5" t="inlineStr">
        <is>
          <t>概率加权预期估值</t>
        </is>
      </c>
      <c r="E11" s="35">
        <f>SUMPRODUCT(B5:B7,E5:E7)</f>
        <v/>
      </c>
    </row>
    <row r="12"/>
    <row r="13">
      <c r="A13" s="1" t="inlineStr">
        <is>
          <t>情景概率分布</t>
        </is>
      </c>
    </row>
    <row r="14">
      <c r="A14" t="inlineStr">
        <is>
          <t>情景</t>
        </is>
      </c>
      <c r="B14" t="inlineStr">
        <is>
          <t>概率</t>
        </is>
      </c>
    </row>
    <row r="15">
      <c r="A15" t="inlineStr">
        <is>
          <t>牛市</t>
        </is>
      </c>
      <c r="B15" s="36" t="n">
        <v>0.3</v>
      </c>
    </row>
    <row r="16">
      <c r="A16" t="inlineStr">
        <is>
          <t>基础</t>
        </is>
      </c>
      <c r="B16" s="36" t="n">
        <v>0.5</v>
      </c>
    </row>
    <row r="17">
      <c r="A17" t="inlineStr">
        <is>
          <t>熊市</t>
        </is>
      </c>
      <c r="B17" s="36" t="n">
        <v>0.2</v>
      </c>
    </row>
  </sheetData>
  <mergeCells count="1">
    <mergeCell ref="A1:F1"/>
  </mergeCells>
  <pageMargins left="0.75" right="0.75" top="1" bottom="1" header="0.5" footer="0.5"/>
  <pageSetup orientation="landscape" fitToHeight="0" fitToWidth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tabColor rgb="000B1D3A"/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9.6" customWidth="1" min="3" max="3"/>
  </cols>
  <sheetData>
    <row r="1">
      <c r="A1" s="1" t="inlineStr">
        <is>
          <t>SpaceX IPO — 关键参数与估值背景</t>
        </is>
      </c>
    </row>
    <row r="2">
      <c r="A2" s="2" t="inlineStr">
        <is>
          <t>数据来源：SpaceX S-1 IPO招股书（2026年5月）；Reuters；PitchBook；Morningstar。</t>
        </is>
      </c>
    </row>
    <row r="3"/>
    <row r="4">
      <c r="A4" s="9" t="inlineStr">
        <is>
          <t>参数</t>
        </is>
      </c>
      <c r="B4" s="9" t="inlineStr">
        <is>
          <t>数值</t>
        </is>
      </c>
      <c r="C4" s="9" t="inlineStr">
        <is>
          <t>备注/对比</t>
        </is>
      </c>
    </row>
    <row r="5">
      <c r="A5" s="10" t="inlineStr">
        <is>
          <t>预计上市日期</t>
        </is>
      </c>
      <c r="B5" s="13" t="inlineStr">
        <is>
          <t>2026年6月12日</t>
        </is>
      </c>
      <c r="C5" s="13" t="inlineStr">
        <is>
          <t>窗口可能因市场条件调整</t>
        </is>
      </c>
    </row>
    <row r="6">
      <c r="A6" s="14" t="inlineStr">
        <is>
          <t>交易所 / 代码</t>
        </is>
      </c>
      <c r="B6" s="17" t="inlineStr">
        <is>
          <t>NASDAQ: SPCX</t>
        </is>
      </c>
      <c r="C6" s="17" t="inlineStr">
        <is>
          <t>双类股权结构</t>
        </is>
      </c>
    </row>
    <row r="7">
      <c r="A7" s="10" t="inlineStr">
        <is>
          <t>目标估值</t>
        </is>
      </c>
      <c r="B7" s="13" t="inlineStr">
        <is>
          <t>$1.75–2.0万亿美元</t>
        </is>
      </c>
      <c r="C7" s="13" t="inlineStr">
        <is>
          <t>史上最大IPO（沙特阿美$256亿为当前记录）</t>
        </is>
      </c>
    </row>
    <row r="8">
      <c r="A8" s="14" t="inlineStr">
        <is>
          <t>目标融资规模</t>
        </is>
      </c>
      <c r="B8" s="17" t="inlineStr">
        <is>
          <t>~$750亿</t>
        </is>
      </c>
      <c r="C8" s="17" t="inlineStr">
        <is>
          <t>含一级发行+二级出售</t>
        </is>
      </c>
    </row>
    <row r="9">
      <c r="A9" s="10" t="inlineStr">
        <is>
          <t>2025年营收对应P/S</t>
        </is>
      </c>
      <c r="B9" s="13" t="inlineStr">
        <is>
          <t>~94–107×</t>
        </is>
      </c>
      <c r="C9" s="13" t="inlineStr">
        <is>
          <t>SaaS行业中位数约8–10×</t>
        </is>
      </c>
    </row>
    <row r="10">
      <c r="A10" s="14" t="inlineStr">
        <is>
          <t>马斯克投票权（IPO后）</t>
        </is>
      </c>
      <c r="B10" s="17" t="inlineStr">
        <is>
          <t>85.1%</t>
        </is>
      </c>
      <c r="C10" s="17" t="inlineStr">
        <is>
          <t>B类股 10票/股 vs A类股 1票/股</t>
        </is>
      </c>
    </row>
    <row r="11">
      <c r="A11" s="10" t="inlineStr">
        <is>
          <t>2025年营收</t>
        </is>
      </c>
      <c r="B11" s="13" t="inlineStr">
        <is>
          <t>$186.7亿</t>
        </is>
      </c>
      <c r="C11" s="13" t="inlineStr">
        <is>
          <t>星链61% + 发射22% + xAI 17%</t>
        </is>
      </c>
    </row>
    <row r="12">
      <c r="A12" s="14" t="inlineStr">
        <is>
          <t>2025年净亏损</t>
        </is>
      </c>
      <c r="B12" s="17" t="inlineStr">
        <is>
          <t>($49.4亿)</t>
        </is>
      </c>
      <c r="C12" s="17" t="inlineStr">
        <is>
          <t>含xAI $63.6亿运营亏损</t>
        </is>
      </c>
    </row>
    <row r="13">
      <c r="A13" s="10" t="inlineStr">
        <is>
          <t>2025年资本支出</t>
        </is>
      </c>
      <c r="B13" s="13" t="inlineStr">
        <is>
          <t>$207.4亿</t>
        </is>
      </c>
      <c r="C13" s="13" t="inlineStr">
        <is>
          <t>含xAI $127亿基础设施投资</t>
        </is>
      </c>
    </row>
    <row r="14">
      <c r="A14" s="14" t="inlineStr">
        <is>
          <t>累计亏损（成立至今）</t>
        </is>
      </c>
      <c r="B14" s="17" t="inlineStr">
        <is>
          <t>$413.1亿</t>
        </is>
      </c>
      <c r="C14" s="17" t="inlineStr">
        <is>
          <t>主要来自星舰研发和xAI投资</t>
        </is>
      </c>
    </row>
    <row r="15">
      <c r="A15" s="10" t="inlineStr">
        <is>
          <t>员工数（估）</t>
        </is>
      </c>
      <c r="B15" s="13" t="inlineStr">
        <is>
          <t>~15,000+</t>
        </is>
      </c>
      <c r="C15" s="13" t="inlineStr">
        <is>
          <t>含xAI团队</t>
        </is>
      </c>
    </row>
    <row r="16">
      <c r="A16" s="14" t="inlineStr">
        <is>
          <t>IPO主承销商</t>
        </is>
      </c>
      <c r="B16" s="17" t="inlineStr">
        <is>
          <t>待披露</t>
        </is>
      </c>
      <c r="C16" s="17" t="inlineStr">
        <is>
          <t>预计多家顶级投行联席承销</t>
        </is>
      </c>
    </row>
    <row r="17"/>
    <row r="18"/>
    <row r="19">
      <c r="A19" s="1" t="inlineStr">
        <is>
          <t>募集资金用途（据S-1招股书）</t>
        </is>
      </c>
    </row>
    <row r="20">
      <c r="A20" s="4" t="inlineStr">
        <is>
          <t>• 星舰基础设施与制造规模化——Boca Chica、卡纳维拉尔角及额外发射场</t>
        </is>
      </c>
    </row>
    <row r="21">
      <c r="A21" s="4" t="inlineStr">
        <is>
          <t>• 星链V3卫星生产与星座扩展——目标30,000+颗卫星</t>
        </is>
      </c>
    </row>
    <row r="22">
      <c r="A22" s="4" t="inlineStr">
        <is>
          <t>• xAI / Colossus超级计算机扩展——GPU集群、数据中心、轨道计算研发</t>
        </is>
      </c>
    </row>
    <row r="23">
      <c r="A23" s="4" t="inlineStr">
        <is>
          <t>• 一般企业用途——营运资金、潜在收购、债务偿还</t>
        </is>
      </c>
    </row>
    <row r="24">
      <c r="A24" s="4" t="inlineStr">
        <is>
          <t>• 现有股东流动性——预计部分为二次发行</t>
        </is>
      </c>
    </row>
  </sheetData>
  <mergeCells count="2">
    <mergeCell ref="A1:C1"/>
    <mergeCell ref="A19:C19"/>
  </mergeCell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0B1D3A"/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20" customWidth="1" min="6" max="6"/>
  </cols>
  <sheetData>
    <row r="1">
      <c r="A1" s="1" t="inlineStr">
        <is>
          <t>可寻址市场总量（TAM）— 航天经济各板块</t>
        </is>
      </c>
    </row>
    <row r="2">
      <c r="A2" s="2" t="inlineStr">
        <is>
          <t>数据来源：SpaceX S-1；Quilty Space；McKinsey；Morgan Stanley航天产业估算；SDA。</t>
        </is>
      </c>
    </row>
    <row r="3"/>
    <row r="4">
      <c r="A4" s="9" t="inlineStr">
        <is>
          <t>市场板块</t>
        </is>
      </c>
      <c r="B4" s="9" t="inlineStr">
        <is>
          <t>当前规模（亿美元）</t>
        </is>
      </c>
      <c r="C4" s="9" t="inlineStr">
        <is>
          <t>增速（CAGR）</t>
        </is>
      </c>
      <c r="D4" s="9" t="inlineStr">
        <is>
          <t>2030E规模（亿美元）</t>
        </is>
      </c>
      <c r="E4" s="9" t="inlineStr">
        <is>
          <t>SpaceX定位</t>
        </is>
      </c>
      <c r="F4" s="9" t="inlineStr">
        <is>
          <t>竞争优势</t>
        </is>
      </c>
    </row>
    <row r="5">
      <c r="A5" s="10" t="inlineStr">
        <is>
          <t>发射服务</t>
        </is>
      </c>
      <c r="B5" s="13" t="n">
        <v>200</v>
      </c>
      <c r="C5" s="26" t="n">
        <v>0.09</v>
      </c>
      <c r="D5" s="37">
        <f>B5*(1+C5)^4</f>
        <v/>
      </c>
      <c r="E5" s="13" t="inlineStr">
        <is>
          <t>主导（&gt;80%份额）</t>
        </is>
      </c>
      <c r="F5" s="13" t="inlineStr">
        <is>
          <t>可重复使用、成本、发射频次</t>
        </is>
      </c>
    </row>
    <row r="6">
      <c r="A6" s="14" t="inlineStr">
        <is>
          <t>卫星宽带</t>
        </is>
      </c>
      <c r="B6" s="17" t="n">
        <v>400</v>
      </c>
      <c r="C6" s="30" t="n">
        <v>0.22</v>
      </c>
      <c r="D6" s="38">
        <f>B6*(1+C6)^4</f>
        <v/>
      </c>
      <c r="E6" s="17" t="inlineStr">
        <is>
          <t>先发领导者（星链）</t>
        </is>
      </c>
      <c r="F6" s="17" t="inlineStr">
        <is>
          <t>用户规模、在轨卫星数、品牌</t>
        </is>
      </c>
    </row>
    <row r="7">
      <c r="A7" s="10" t="inlineStr">
        <is>
          <t>政府/国防航天</t>
        </is>
      </c>
      <c r="B7" s="13" t="n">
        <v>500</v>
      </c>
      <c r="C7" s="26" t="n">
        <v>0.12</v>
      </c>
      <c r="D7" s="37">
        <f>B7*(1+C7)^4</f>
        <v/>
      </c>
      <c r="E7" s="13" t="inlineStr">
        <is>
          <t>低成本在位者</t>
        </is>
      </c>
      <c r="F7" s="13" t="inlineStr">
        <is>
          <t>NSSL合同、安全许可、可靠性</t>
        </is>
      </c>
    </row>
    <row r="8">
      <c r="A8" s="14" t="inlineStr">
        <is>
          <t>轨道AI与数据服务</t>
        </is>
      </c>
      <c r="B8" s="17" t="n">
        <v>500</v>
      </c>
      <c r="C8" s="30" t="n">
        <v>0.35</v>
      </c>
      <c r="D8" s="38">
        <f>B8*(1+C8)^4</f>
        <v/>
      </c>
      <c r="E8" s="17" t="inlineStr">
        <is>
          <t>xAI押注（新兴）</t>
        </is>
      </c>
      <c r="F8" s="17" t="inlineStr">
        <is>
          <t>星舰运力、垂直整合、资本</t>
        </is>
      </c>
    </row>
    <row r="9">
      <c r="A9" s="18" t="inlineStr">
        <is>
          <t>合计/交叉</t>
        </is>
      </c>
      <c r="B9" s="39">
        <f>SUM(B5:B8)</f>
        <v/>
      </c>
      <c r="C9" s="21" t="n"/>
      <c r="D9" s="21" t="n"/>
      <c r="E9" s="21" t="inlineStr">
        <is>
          <t>多板块整合运营商</t>
        </is>
      </c>
      <c r="F9" s="21" t="inlineStr">
        <is>
          <t>全栈控制 = 利润获取</t>
        </is>
      </c>
    </row>
  </sheetData>
  <mergeCells count="1">
    <mergeCell ref="A1:E1"/>
  </mergeCell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0B1D3A"/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5" customWidth="1" min="1" max="1"/>
    <col width="22" customWidth="1" min="2" max="2"/>
    <col width="22" customWidth="1" min="3" max="3"/>
    <col width="33.2" customWidth="1" min="4" max="4"/>
  </cols>
  <sheetData>
    <row r="1">
      <c r="A1" s="1" t="inlineStr">
        <is>
          <t>跨表数据一致性校验</t>
        </is>
      </c>
    </row>
    <row r="2">
      <c r="A2" s="2" t="inlineStr">
        <is>
          <t>校验规则：对比各表中相同指标数值，确保一致性。TRUE = 一致，FALSE = 不一致，需排查。</t>
        </is>
      </c>
    </row>
    <row r="3"/>
    <row r="4">
      <c r="A4" s="9" t="inlineStr">
        <is>
          <t>校验项</t>
        </is>
      </c>
      <c r="B4" s="9" t="inlineStr">
        <is>
          <t>表1数值</t>
        </is>
      </c>
      <c r="C4" s="9" t="inlineStr">
        <is>
          <t>表2数值</t>
        </is>
      </c>
      <c r="D4" s="9" t="inlineStr">
        <is>
          <t>结果</t>
        </is>
      </c>
    </row>
    <row r="5">
      <c r="A5" s="10" t="inlineStr">
        <is>
          <t>星链FY2025营收</t>
        </is>
      </c>
      <c r="B5" s="13">
        <f>'分业务财务'!C5</f>
        <v/>
      </c>
      <c r="C5" s="13" t="n">
        <v>113.9</v>
      </c>
      <c r="D5" s="13">
        <f>ROUND(B5,1)=ROUND(C5,1)</f>
        <v/>
      </c>
    </row>
    <row r="6">
      <c r="A6" s="14" t="inlineStr">
        <is>
          <t>发射FY2025营收</t>
        </is>
      </c>
      <c r="B6" s="17">
        <f>'分业务财务'!C6</f>
        <v/>
      </c>
      <c r="C6" s="17" t="n">
        <v>40.9</v>
      </c>
      <c r="D6" s="17">
        <f>ROUND(B6,1)=ROUND(C6,1)</f>
        <v/>
      </c>
    </row>
    <row r="7">
      <c r="A7" s="10" t="inlineStr">
        <is>
          <t>合并FY2025营收</t>
        </is>
      </c>
      <c r="B7" s="13">
        <f>'分业务财务'!C8</f>
        <v/>
      </c>
      <c r="C7" s="13" t="n">
        <v>186.7</v>
      </c>
      <c r="D7" s="13">
        <f>ROUND(B7,1)=ROUND(C7,1)</f>
        <v/>
      </c>
    </row>
    <row r="8">
      <c r="A8" s="14" t="inlineStr">
        <is>
          <t>星链FY2025 EBITDA</t>
        </is>
      </c>
      <c r="B8" s="17">
        <f>'分业务财务'!F5</f>
        <v/>
      </c>
      <c r="C8" s="17" t="n">
        <v>71.7</v>
      </c>
      <c r="D8" s="17">
        <f>ROUND(B8,1)=ROUND(C8,1)</f>
        <v/>
      </c>
    </row>
    <row r="9">
      <c r="A9" s="10" t="inlineStr">
        <is>
          <t>2025发射次数</t>
        </is>
      </c>
      <c r="B9" s="13">
        <f>'发射频次与成本'!B10</f>
        <v/>
      </c>
      <c r="C9" s="13" t="n">
        <v>165</v>
      </c>
      <c r="D9" s="13">
        <f>ROUND(B9,1)=ROUND(C9,1)</f>
        <v/>
      </c>
    </row>
    <row r="10">
      <c r="A10" s="14" t="inlineStr">
        <is>
          <t>2025累计着陆</t>
        </is>
      </c>
      <c r="B10" s="17">
        <f>'发射频次与成本'!C10</f>
        <v/>
      </c>
      <c r="C10" s="17" t="n">
        <v>571</v>
      </c>
      <c r="D10" s="17">
        <f>ROUND(B10,1)=ROUND(C10,1)</f>
        <v/>
      </c>
    </row>
    <row r="11">
      <c r="A11" s="10" t="inlineStr">
        <is>
          <t>星链2025用户数</t>
        </is>
      </c>
      <c r="B11" s="13">
        <f>'星链用户与ARPU'!D5</f>
        <v/>
      </c>
      <c r="C11" s="13" t="n">
        <v>8.9</v>
      </c>
      <c r="D11" s="13">
        <f>ROUND(B11,1)=ROUND(C11,1)</f>
        <v/>
      </c>
    </row>
    <row r="12">
      <c r="A12" s="14" t="inlineStr">
        <is>
          <t>IPO目标估值(中点)</t>
        </is>
      </c>
      <c r="B12" s="17">
        <f>'估值情景'!E9</f>
        <v/>
      </c>
      <c r="C12" s="17" t="n">
        <v>1.75</v>
      </c>
      <c r="D12" s="17">
        <f>ROUND(B12,1)=ROUND(C12,1)</f>
        <v/>
      </c>
    </row>
    <row r="13"/>
    <row r="14">
      <c r="A14" s="2" t="inlineStr">
        <is>
          <t>所有数据源自SpaceX S-1招股书（2026年5月）及公开行业报告。数字经人工核对，保留1位小数精度。</t>
        </is>
      </c>
    </row>
  </sheetData>
  <mergeCells count="1">
    <mergeCell ref="A1:C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2026-05-26T05:20:57Z</dcterms:created>
  <dcterms:modified xmlns:dcterms="http://purl.org/dc/terms/" xmlns:xsi="http://www.w3.org/2001/XMLSchema-instance" xsi:type="dcterms:W3CDTF">2026-05-26T05:20:57Z</dcterms:modified>
</cp:coreProperties>
</file>